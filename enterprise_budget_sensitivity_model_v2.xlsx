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Engine &amp; Inputs" sheetId="1" state="visible" r:id="rId1"/>
    <sheet xmlns:r="http://schemas.openxmlformats.org/officeDocument/2006/relationships" name="Enterprise P&amp;L Projections" sheetId="2" state="visible" r:id="rId2"/>
    <sheet xmlns:r="http://schemas.openxmlformats.org/officeDocument/2006/relationships" name="EBITDA Sensitivity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sz val="11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0" borderId="1" pivotButton="0" quotePrefix="0" xfId="0"/>
    <xf numFmtId="164" fontId="0" fillId="0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0" fontId="2" fillId="4" borderId="1" pivotButton="0" quotePrefix="0" xfId="0"/>
    <xf numFmtId="165" fontId="2" fillId="4" borderId="1" pivotButton="0" quotePrefix="0" xfId="0"/>
    <xf numFmtId="164" fontId="2" fillId="4" borderId="1" pivotButton="0" quotePrefix="0" xfId="0"/>
    <xf numFmtId="165" fontId="5" fillId="0" borderId="1" pivotButton="0" quotePrefix="0" xfId="0"/>
    <xf numFmtId="164" fontId="5" fillId="0" borderId="1" pivotButton="0" quotePrefix="0" xfId="0"/>
    <xf numFmtId="0" fontId="6" fillId="5" borderId="1" pivotButton="0" quotePrefix="0" xfId="0"/>
    <xf numFmtId="0" fontId="6" fillId="2" borderId="2" pivotButton="0" quotePrefix="0" xfId="0"/>
    <xf numFmtId="165" fontId="6" fillId="2" borderId="2" pivotButton="0" quotePrefix="0" xfId="0"/>
    <xf numFmtId="164" fontId="6" fillId="2" borderId="2" pivotButton="0" quotePrefix="0" xfId="0"/>
    <xf numFmtId="165" fontId="6" fillId="2" borderId="0" pivotButton="0" quotePrefix="0" xfId="0"/>
    <xf numFmtId="164" fontId="4" fillId="3" borderId="0" applyAlignment="1" pivotButton="0" quotePrefix="0" xfId="0">
      <alignment horizontal="center"/>
    </xf>
    <xf numFmtId="165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1" customWidth="1" min="2" max="2"/>
    <col width="23" customWidth="1" min="3" max="3"/>
    <col width="15" customWidth="1" min="4" max="4"/>
    <col width="21" customWidth="1" min="5" max="5"/>
    <col width="27" customWidth="1" min="6" max="6"/>
  </cols>
  <sheetData>
    <row r="1"/>
    <row r="2">
      <c r="B2" s="1" t="inlineStr">
        <is>
          <t>Enterprise FP&amp;A Scenario Engine - FY2026/2027 Projections</t>
        </is>
      </c>
    </row>
    <row r="3"/>
    <row r="4">
      <c r="B4" s="2" t="inlineStr">
        <is>
          <t>Active Forecast Scenario Toggle:</t>
        </is>
      </c>
      <c r="C4" s="3" t="inlineStr">
        <is>
          <t>Base</t>
        </is>
      </c>
    </row>
    <row r="5"/>
    <row r="6">
      <c r="B6" s="4" t="inlineStr">
        <is>
          <t>Macroeconomic &amp; Financial Variable</t>
        </is>
      </c>
      <c r="C6" s="5" t="inlineStr">
        <is>
          <t>Bear / Conservative</t>
        </is>
      </c>
      <c r="D6" s="5" t="inlineStr">
        <is>
          <t>Base Case</t>
        </is>
      </c>
      <c r="E6" s="5" t="inlineStr">
        <is>
          <t>Bull / Aggressive</t>
        </is>
      </c>
      <c r="F6" s="5" t="inlineStr">
        <is>
          <t>Active Parameter Engine</t>
        </is>
      </c>
    </row>
    <row r="7">
      <c r="B7" s="6" t="inlineStr">
        <is>
          <t>Enterprise Revenue Growth Rate (%)</t>
        </is>
      </c>
      <c r="C7" s="7" t="n">
        <v>0.08500000000000001</v>
      </c>
      <c r="D7" s="7" t="n">
        <v>0.165</v>
      </c>
      <c r="E7" s="7" t="n">
        <v>0.28</v>
      </c>
      <c r="F7" s="8">
        <f>INDEX(C7:E7, 1, MATCH($C$4, $C$6:$E$6, 0))</f>
        <v/>
      </c>
    </row>
    <row r="8">
      <c r="B8" s="6" t="inlineStr">
        <is>
          <t>Cloud &amp; Compute Infrastructure Inflation (%)</t>
        </is>
      </c>
      <c r="C8" s="7" t="n">
        <v>0.09</v>
      </c>
      <c r="D8" s="7" t="n">
        <v>0.045</v>
      </c>
      <c r="E8" s="7" t="n">
        <v>0.025</v>
      </c>
      <c r="F8" s="8">
        <f>INDEX(C8:E8, 1, MATCH($C$4, $C$6:$E$6, 0))</f>
        <v/>
      </c>
    </row>
    <row r="9">
      <c r="B9" s="6" t="inlineStr">
        <is>
          <t>General OPEX Cost Escalation (%)</t>
        </is>
      </c>
      <c r="C9" s="7" t="n">
        <v>0.07000000000000001</v>
      </c>
      <c r="D9" s="7" t="n">
        <v>0.038</v>
      </c>
      <c r="E9" s="7" t="n">
        <v>0.02</v>
      </c>
      <c r="F9" s="8">
        <f>INDEX(C9:E9, 1, MATCH($C$4, $C$6:$E$6, 0))</f>
        <v/>
      </c>
    </row>
    <row r="10">
      <c r="B10" s="6" t="inlineStr">
        <is>
          <t>Headcount Expansion (Net New FTEs)</t>
        </is>
      </c>
      <c r="C10" s="9" t="n">
        <v>15</v>
      </c>
      <c r="D10" s="9" t="n">
        <v>45</v>
      </c>
      <c r="E10" s="9" t="n">
        <v>90</v>
      </c>
      <c r="F10" s="10">
        <f>INDEX(C10:E10, 1, MATCH($C$4, $C$6:$E$6, 0))</f>
        <v/>
      </c>
    </row>
    <row r="11">
      <c r="B11" s="6" t="inlineStr">
        <is>
          <t>Fully Loaded Annual Cost Per Hire ($)</t>
        </is>
      </c>
      <c r="C11" s="11" t="n">
        <v>145000</v>
      </c>
      <c r="D11" s="11" t="n">
        <v>135000</v>
      </c>
      <c r="E11" s="11" t="n">
        <v>128000</v>
      </c>
      <c r="F11" s="12">
        <f>INDEX(C11:E11, 1, MATCH($C$4, $C$6:$E$6, 0))</f>
        <v/>
      </c>
    </row>
    <row r="12">
      <c r="B12" s="6" t="inlineStr">
        <is>
          <t>Sales CAC / Marketing Spend Reinvestment Rate (%)</t>
        </is>
      </c>
      <c r="C12" s="7" t="n">
        <v>0.12</v>
      </c>
      <c r="D12" s="7" t="n">
        <v>0.18</v>
      </c>
      <c r="E12" s="7" t="n">
        <v>0.25</v>
      </c>
      <c r="F12" s="8">
        <f>INDEX(C12:E12, 1, MATCH($C$4, $C$6:$E$6, 0))</f>
        <v/>
      </c>
    </row>
    <row r="13">
      <c r="B13" s="6" t="inlineStr">
        <is>
          <t>Corporate Tax &amp; Effective Interest Rate (%)</t>
        </is>
      </c>
      <c r="C13" s="7" t="n">
        <v>0.25</v>
      </c>
      <c r="D13" s="7" t="n">
        <v>0.21</v>
      </c>
      <c r="E13" s="7" t="n">
        <v>0.19</v>
      </c>
      <c r="F13" s="8">
        <f>INDEX(C13:E13, 1, MATCH($C$4, $C$6:$E$6, 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9" customWidth="1" min="2" max="2"/>
    <col width="18" customWidth="1" min="3" max="3"/>
    <col width="19" customWidth="1" min="4" max="4"/>
    <col width="20" customWidth="1" min="5" max="5"/>
    <col width="20" customWidth="1" min="6" max="6"/>
    <col width="18" customWidth="1" min="7" max="7"/>
  </cols>
  <sheetData>
    <row r="1"/>
    <row r="2">
      <c r="B2" s="1" t="inlineStr">
        <is>
          <t>Enterprise Income Statement (Multi-Year Scenario Model)</t>
        </is>
      </c>
    </row>
    <row r="3"/>
    <row r="4"/>
    <row r="5">
      <c r="B5" s="4" t="inlineStr">
        <is>
          <t>Financial Statement Line Item ($ USD)</t>
        </is>
      </c>
      <c r="C5" s="5" t="inlineStr">
        <is>
          <t>FY2025 Actuals</t>
        </is>
      </c>
      <c r="D5" s="5" t="inlineStr">
        <is>
          <t>FY2026 Forecast</t>
        </is>
      </c>
      <c r="E5" s="5" t="inlineStr">
        <is>
          <t>FY2027 Pro-Forma</t>
        </is>
      </c>
      <c r="F5" s="5" t="inlineStr">
        <is>
          <t>YoY Variance ($)</t>
        </is>
      </c>
      <c r="G5" s="5" t="inlineStr">
        <is>
          <t>YoY Growth (%)</t>
        </is>
      </c>
    </row>
    <row r="6">
      <c r="B6" s="13" t="inlineStr">
        <is>
          <t>Enterprise Gross Recurring Revenue</t>
        </is>
      </c>
      <c r="C6" s="14" t="n">
        <v>78500000</v>
      </c>
      <c r="D6" s="14">
        <f>C6*(1+'Scenario Engine &amp; Inputs'!$F$7)</f>
        <v/>
      </c>
      <c r="E6" s="14">
        <f>D6*(1+'Scenario Engine &amp; Inputs'!$F$7)</f>
        <v/>
      </c>
      <c r="F6" s="14">
        <f>D6-C6</f>
        <v/>
      </c>
      <c r="G6" s="15">
        <f>(D6-C6)/NULLIF(C6,0)</f>
        <v/>
      </c>
    </row>
    <row r="7">
      <c r="B7" s="6" t="inlineStr">
        <is>
          <t>COGS: Cloud Hosting &amp; Infrastructure</t>
        </is>
      </c>
      <c r="C7" s="16" t="n">
        <v>14200000</v>
      </c>
      <c r="D7" s="16">
        <f>C7*(1+'Scenario Engine &amp; Inputs'!$F$8)</f>
        <v/>
      </c>
      <c r="E7" s="16">
        <f>D7*(1+'Scenario Engine &amp; Inputs'!$F$8)</f>
        <v/>
      </c>
      <c r="F7" s="16">
        <f>D7-C7</f>
        <v/>
      </c>
      <c r="G7" s="17">
        <f>(D7-C7)/NULLIF(C7,0)</f>
        <v/>
      </c>
    </row>
    <row r="8">
      <c r="B8" s="6" t="inlineStr">
        <is>
          <t>COGS: Direct Support &amp; Customer Onboarding</t>
        </is>
      </c>
      <c r="C8" s="16" t="n">
        <v>6800000</v>
      </c>
      <c r="D8" s="16">
        <f>C8*(1+'Scenario Engine &amp; Inputs'!$F$9)</f>
        <v/>
      </c>
      <c r="E8" s="16">
        <f>D8*(1+'Scenario Engine &amp; Inputs'!$F$9)</f>
        <v/>
      </c>
      <c r="F8" s="16">
        <f>D8-C8</f>
        <v/>
      </c>
      <c r="G8" s="17">
        <f>(D8-C8)/NULLIF(C8,0)</f>
        <v/>
      </c>
    </row>
    <row r="9">
      <c r="B9" s="13" t="inlineStr">
        <is>
          <t>Total Cost of Goods Sold (COGS)</t>
        </is>
      </c>
      <c r="C9" s="14">
        <f>SUM(C7:C8)</f>
        <v/>
      </c>
      <c r="D9" s="14">
        <f>SUM(D7:D8)</f>
        <v/>
      </c>
      <c r="E9" s="14">
        <f>SUM(E7:E8)</f>
        <v/>
      </c>
      <c r="F9" s="14">
        <f>D9-C9</f>
        <v/>
      </c>
      <c r="G9" s="15">
        <f>(D9-C9)/NULLIF(C9,0)</f>
        <v/>
      </c>
    </row>
    <row r="10">
      <c r="B10" s="13" t="inlineStr">
        <is>
          <t>Gross Profit</t>
        </is>
      </c>
      <c r="C10" s="14">
        <f>C6-C9</f>
        <v/>
      </c>
      <c r="D10" s="14">
        <f>D6-D9</f>
        <v/>
      </c>
      <c r="E10" s="14">
        <f>E6-E9</f>
        <v/>
      </c>
      <c r="F10" s="14">
        <f>D10-C10</f>
        <v/>
      </c>
      <c r="G10" s="15">
        <f>(D10-C10)/NULLIF(C10,0)</f>
        <v/>
      </c>
    </row>
    <row r="11">
      <c r="B11" s="6" t="inlineStr">
        <is>
          <t>Gross Margin %</t>
        </is>
      </c>
      <c r="C11" s="17">
        <f>C10/C6</f>
        <v/>
      </c>
      <c r="D11" s="17">
        <f>D10/D6</f>
        <v/>
      </c>
      <c r="E11" s="17">
        <f>E10/E6</f>
        <v/>
      </c>
      <c r="F11" s="17">
        <f>D11-C11</f>
        <v/>
      </c>
      <c r="G11" s="17">
        <f>D11-C11</f>
        <v/>
      </c>
    </row>
    <row r="12">
      <c r="B12" s="18" t="inlineStr">
        <is>
          <t>Operating Expenses (OPEX)</t>
        </is>
      </c>
      <c r="C12" s="18" t="inlineStr"/>
      <c r="D12" s="18" t="inlineStr"/>
      <c r="E12" s="18" t="inlineStr"/>
      <c r="F12" s="18" t="inlineStr"/>
      <c r="G12" s="18" t="inlineStr"/>
    </row>
    <row r="13">
      <c r="B13" s="6" t="inlineStr">
        <is>
          <t xml:space="preserve">  R&amp;D / Engineering Salaries &amp; Tooling</t>
        </is>
      </c>
      <c r="C13" s="16" t="n">
        <v>22500000</v>
      </c>
      <c r="D13" s="16">
        <f>C13+('Scenario Engine &amp; Inputs'!$F$10*'Scenario Engine &amp; Inputs'!$F$11*0.55)</f>
        <v/>
      </c>
      <c r="E13" s="16">
        <f>D13+('Scenario Engine &amp; Inputs'!$F$10*'Scenario Engine &amp; Inputs'!$F$11*0.55)</f>
        <v/>
      </c>
      <c r="F13" s="16">
        <f>D13-C13</f>
        <v/>
      </c>
      <c r="G13" s="17">
        <f>(D13-C13)/NULLIF(C13,0)</f>
        <v/>
      </c>
    </row>
    <row r="14">
      <c r="B14" s="6" t="inlineStr">
        <is>
          <t xml:space="preserve">  Sales &amp; Marketing Acquisition</t>
        </is>
      </c>
      <c r="C14" s="16" t="n">
        <v>16800000</v>
      </c>
      <c r="D14" s="16">
        <f>C14*(1+'Scenario Engine &amp; Inputs'!$F$12)</f>
        <v/>
      </c>
      <c r="E14" s="16">
        <f>D14*(1+'Scenario Engine &amp; Inputs'!$F$12)</f>
        <v/>
      </c>
      <c r="F14" s="16">
        <f>D14-C14</f>
        <v/>
      </c>
      <c r="G14" s="17">
        <f>(D14-C14)/NULLIF(C14,0)</f>
        <v/>
      </c>
    </row>
    <row r="15">
      <c r="B15" s="6" t="inlineStr">
        <is>
          <t xml:space="preserve">  General &amp; Administrative (G&amp;A)</t>
        </is>
      </c>
      <c r="C15" s="16" t="n">
        <v>7400000</v>
      </c>
      <c r="D15" s="16">
        <f>C15*(1+'Scenario Engine &amp; Inputs'!$F$9)</f>
        <v/>
      </c>
      <c r="E15" s="16">
        <f>D15*(1+'Scenario Engine &amp; Inputs'!$F$9)</f>
        <v/>
      </c>
      <c r="F15" s="16">
        <f>D15-C15</f>
        <v/>
      </c>
      <c r="G15" s="17">
        <f>(D15-C15)/NULLIF(C15,0)</f>
        <v/>
      </c>
    </row>
    <row r="16">
      <c r="B16" s="13" t="inlineStr">
        <is>
          <t>Total Operating Expenses</t>
        </is>
      </c>
      <c r="C16" s="14">
        <f>SUM(C13:C15)</f>
        <v/>
      </c>
      <c r="D16" s="14">
        <f>SUM(D13:D15)</f>
        <v/>
      </c>
      <c r="E16" s="14">
        <f>SUM(E13:E15)</f>
        <v/>
      </c>
      <c r="F16" s="14">
        <f>D16-C16</f>
        <v/>
      </c>
      <c r="G16" s="15">
        <f>(D16-C16)/NULLIF(C16,0)</f>
        <v/>
      </c>
    </row>
    <row r="17">
      <c r="B17" s="13" t="inlineStr">
        <is>
          <t>EBITDA (Operating Income)</t>
        </is>
      </c>
      <c r="C17" s="14">
        <f>C10-C16</f>
        <v/>
      </c>
      <c r="D17" s="14">
        <f>D10-D16</f>
        <v/>
      </c>
      <c r="E17" s="14">
        <f>E10-E16</f>
        <v/>
      </c>
      <c r="F17" s="14">
        <f>D17-C17</f>
        <v/>
      </c>
      <c r="G17" s="15">
        <f>(D17-C17)/NULLIF(C17,0)</f>
        <v/>
      </c>
    </row>
    <row r="18">
      <c r="B18" s="6" t="inlineStr">
        <is>
          <t>EBITDA Margin %</t>
        </is>
      </c>
      <c r="C18" s="17">
        <f>C17/C6</f>
        <v/>
      </c>
      <c r="D18" s="17">
        <f>D17/D6</f>
        <v/>
      </c>
      <c r="E18" s="17">
        <f>E17/E6</f>
        <v/>
      </c>
      <c r="F18" s="17">
        <f>D18-C18</f>
        <v/>
      </c>
      <c r="G18" s="17">
        <f>D18-C18</f>
        <v/>
      </c>
    </row>
    <row r="19">
      <c r="B19" s="6" t="inlineStr">
        <is>
          <t>Depreciation &amp; Amortization (D&amp;A)</t>
        </is>
      </c>
      <c r="C19" s="16" t="n">
        <v>2100000</v>
      </c>
      <c r="D19" s="16" t="n">
        <v>2400000</v>
      </c>
      <c r="E19" s="16" t="n">
        <v>2700000</v>
      </c>
      <c r="F19" s="16">
        <f>D19-C19</f>
        <v/>
      </c>
      <c r="G19" s="17">
        <f>(D19-C19)/NULLIF(C19,0)</f>
        <v/>
      </c>
    </row>
    <row r="20">
      <c r="B20" s="13" t="inlineStr">
        <is>
          <t>EBIT (Operating Profit)</t>
        </is>
      </c>
      <c r="C20" s="14">
        <f>C17-C19</f>
        <v/>
      </c>
      <c r="D20" s="14">
        <f>D17-D19</f>
        <v/>
      </c>
      <c r="E20" s="14">
        <f>E17-E19</f>
        <v/>
      </c>
      <c r="F20" s="14">
        <f>D20-C20</f>
        <v/>
      </c>
      <c r="G20" s="15">
        <f>(D20-C20)/NULLIF(C20,0)</f>
        <v/>
      </c>
    </row>
    <row r="21">
      <c r="B21" s="6" t="inlineStr">
        <is>
          <t>Corporate Taxes &amp; Interest Expense</t>
        </is>
      </c>
      <c r="C21" s="16">
        <f>C20*'Scenario Engine &amp; Inputs'!$F$13</f>
        <v/>
      </c>
      <c r="D21" s="16">
        <f>D20*'Scenario Engine &amp; Inputs'!$F$13</f>
        <v/>
      </c>
      <c r="E21" s="16">
        <f>E20*'Scenario Engine &amp; Inputs'!$F$13</f>
        <v/>
      </c>
      <c r="F21" s="16">
        <f>D21-C21</f>
        <v/>
      </c>
      <c r="G21" s="17">
        <f>(D21-C21)/NULLIF(C21,0)</f>
        <v/>
      </c>
    </row>
    <row r="22">
      <c r="B22" s="19" t="inlineStr">
        <is>
          <t>Net Income</t>
        </is>
      </c>
      <c r="C22" s="20">
        <f>C20-C21</f>
        <v/>
      </c>
      <c r="D22" s="20">
        <f>D20-D21</f>
        <v/>
      </c>
      <c r="E22" s="20">
        <f>E20-E21</f>
        <v/>
      </c>
      <c r="F22" s="20">
        <f>D22-C22</f>
        <v/>
      </c>
      <c r="G22" s="21">
        <f>(D22-C22)/NULLIF(C22,0)</f>
        <v/>
      </c>
    </row>
    <row r="23">
      <c r="B23" s="6" t="inlineStr">
        <is>
          <t>Net Profit Margin %</t>
        </is>
      </c>
      <c r="C23" s="17">
        <f>C22/C6</f>
        <v/>
      </c>
      <c r="D23" s="17">
        <f>D22/D6</f>
        <v/>
      </c>
      <c r="E23" s="17">
        <f>E22/E6</f>
        <v/>
      </c>
      <c r="F23" s="17">
        <f>D23-C23</f>
        <v/>
      </c>
      <c r="G23" s="17">
        <f>D23-C23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1" customWidth="1" min="2" max="2"/>
    <col width="29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/>
    <row r="2">
      <c r="B2" s="1" t="inlineStr">
        <is>
          <t>Two-Variable Enterprise EBITDA Stress Matrix ($ Millions)</t>
        </is>
      </c>
    </row>
    <row r="3"/>
    <row r="4">
      <c r="B4" s="2" t="inlineStr">
        <is>
          <t>Active Model EBITDA Forecast:</t>
        </is>
      </c>
      <c r="D4" s="22">
        <f>'Enterprise P&amp;L Projections'!$D$17</f>
        <v/>
      </c>
    </row>
    <row r="5"/>
    <row r="6"/>
    <row r="7">
      <c r="C7" s="5" t="inlineStr">
        <is>
          <t>Revenue Growth \ Cost Inf</t>
        </is>
      </c>
      <c r="D7" s="23" t="n">
        <v>0.02</v>
      </c>
      <c r="E7" s="23" t="n">
        <v>0.035</v>
      </c>
      <c r="F7" s="23" t="n">
        <v>0.05</v>
      </c>
      <c r="G7" s="23" t="n">
        <v>0.07000000000000001</v>
      </c>
      <c r="H7" s="23" t="n">
        <v>0.09</v>
      </c>
      <c r="I7" s="23" t="n">
        <v>0.11</v>
      </c>
    </row>
    <row r="8">
      <c r="C8" s="23" t="n">
        <v>0.05</v>
      </c>
      <c r="D8" s="16">
        <f>(78500000*(1+C8)) - (21000000*(1+D$7)) - (46700000*(1+D$7*0.75))</f>
        <v/>
      </c>
      <c r="E8" s="16">
        <f>(78500000*(1+C8)) - (21000000*(1+E$7)) - (46700000*(1+E$7*0.75))</f>
        <v/>
      </c>
      <c r="F8" s="16">
        <f>(78500000*(1+C8)) - (21000000*(1+F$7)) - (46700000*(1+F$7*0.75))</f>
        <v/>
      </c>
      <c r="G8" s="16">
        <f>(78500000*(1+C8)) - (21000000*(1+G$7)) - (46700000*(1+G$7*0.75))</f>
        <v/>
      </c>
      <c r="H8" s="16">
        <f>(78500000*(1+C8)) - (21000000*(1+H$7)) - (46700000*(1+H$7*0.75))</f>
        <v/>
      </c>
      <c r="I8" s="16">
        <f>(78500000*(1+C8)) - (21000000*(1+I$7)) - (46700000*(1+I$7*0.75))</f>
        <v/>
      </c>
    </row>
    <row r="9">
      <c r="C9" s="23" t="n">
        <v>0.1</v>
      </c>
      <c r="D9" s="16">
        <f>(78500000*(1+C9)) - (21000000*(1+D$7)) - (46700000*(1+D$7*0.75))</f>
        <v/>
      </c>
      <c r="E9" s="16">
        <f>(78500000*(1+C9)) - (21000000*(1+E$7)) - (46700000*(1+E$7*0.75))</f>
        <v/>
      </c>
      <c r="F9" s="16">
        <f>(78500000*(1+C9)) - (21000000*(1+F$7)) - (46700000*(1+F$7*0.75))</f>
        <v/>
      </c>
      <c r="G9" s="16">
        <f>(78500000*(1+C9)) - (21000000*(1+G$7)) - (46700000*(1+G$7*0.75))</f>
        <v/>
      </c>
      <c r="H9" s="16">
        <f>(78500000*(1+C9)) - (21000000*(1+H$7)) - (46700000*(1+H$7*0.75))</f>
        <v/>
      </c>
      <c r="I9" s="16">
        <f>(78500000*(1+C9)) - (21000000*(1+I$7)) - (46700000*(1+I$7*0.75))</f>
        <v/>
      </c>
    </row>
    <row r="10">
      <c r="C10" s="23" t="n">
        <v>0.15</v>
      </c>
      <c r="D10" s="16">
        <f>(78500000*(1+C10)) - (21000000*(1+D$7)) - (46700000*(1+D$7*0.75))</f>
        <v/>
      </c>
      <c r="E10" s="24">
        <f>(78500000*(1+C10)) - (21000000*(1+E$7)) - (46700000*(1+E$7*0.75))</f>
        <v/>
      </c>
      <c r="F10" s="16">
        <f>(78500000*(1+C10)) - (21000000*(1+F$7)) - (46700000*(1+F$7*0.75))</f>
        <v/>
      </c>
      <c r="G10" s="16">
        <f>(78500000*(1+C10)) - (21000000*(1+G$7)) - (46700000*(1+G$7*0.75))</f>
        <v/>
      </c>
      <c r="H10" s="16">
        <f>(78500000*(1+C10)) - (21000000*(1+H$7)) - (46700000*(1+H$7*0.75))</f>
        <v/>
      </c>
      <c r="I10" s="16">
        <f>(78500000*(1+C10)) - (21000000*(1+I$7)) - (46700000*(1+I$7*0.75))</f>
        <v/>
      </c>
    </row>
    <row r="11">
      <c r="C11" s="23" t="n">
        <v>0.2</v>
      </c>
      <c r="D11" s="16">
        <f>(78500000*(1+C11)) - (21000000*(1+D$7)) - (46700000*(1+D$7*0.75))</f>
        <v/>
      </c>
      <c r="E11" s="16">
        <f>(78500000*(1+C11)) - (21000000*(1+E$7)) - (46700000*(1+E$7*0.75))</f>
        <v/>
      </c>
      <c r="F11" s="16">
        <f>(78500000*(1+C11)) - (21000000*(1+F$7)) - (46700000*(1+F$7*0.75))</f>
        <v/>
      </c>
      <c r="G11" s="16">
        <f>(78500000*(1+C11)) - (21000000*(1+G$7)) - (46700000*(1+G$7*0.75))</f>
        <v/>
      </c>
      <c r="H11" s="16">
        <f>(78500000*(1+C11)) - (21000000*(1+H$7)) - (46700000*(1+H$7*0.75))</f>
        <v/>
      </c>
      <c r="I11" s="16">
        <f>(78500000*(1+C11)) - (21000000*(1+I$7)) - (46700000*(1+I$7*0.75))</f>
        <v/>
      </c>
    </row>
    <row r="12">
      <c r="C12" s="23" t="n">
        <v>0.25</v>
      </c>
      <c r="D12" s="16">
        <f>(78500000*(1+C12)) - (21000000*(1+D$7)) - (46700000*(1+D$7*0.75))</f>
        <v/>
      </c>
      <c r="E12" s="16">
        <f>(78500000*(1+C12)) - (21000000*(1+E$7)) - (46700000*(1+E$7*0.75))</f>
        <v/>
      </c>
      <c r="F12" s="16">
        <f>(78500000*(1+C12)) - (21000000*(1+F$7)) - (46700000*(1+F$7*0.75))</f>
        <v/>
      </c>
      <c r="G12" s="16">
        <f>(78500000*(1+C12)) - (21000000*(1+G$7)) - (46700000*(1+G$7*0.75))</f>
        <v/>
      </c>
      <c r="H12" s="16">
        <f>(78500000*(1+C12)) - (21000000*(1+H$7)) - (46700000*(1+H$7*0.75))</f>
        <v/>
      </c>
      <c r="I12" s="16">
        <f>(78500000*(1+C12)) - (21000000*(1+I$7)) - (46700000*(1+I$7*0.75))</f>
        <v/>
      </c>
    </row>
    <row r="13">
      <c r="C13" s="23" t="n">
        <v>0.3</v>
      </c>
      <c r="D13" s="16">
        <f>(78500000*(1+C13)) - (21000000*(1+D$7)) - (46700000*(1+D$7*0.75))</f>
        <v/>
      </c>
      <c r="E13" s="16">
        <f>(78500000*(1+C13)) - (21000000*(1+E$7)) - (46700000*(1+E$7*0.75))</f>
        <v/>
      </c>
      <c r="F13" s="16">
        <f>(78500000*(1+C13)) - (21000000*(1+F$7)) - (46700000*(1+F$7*0.75))</f>
        <v/>
      </c>
      <c r="G13" s="16">
        <f>(78500000*(1+C13)) - (21000000*(1+G$7)) - (46700000*(1+G$7*0.75))</f>
        <v/>
      </c>
      <c r="H13" s="16">
        <f>(78500000*(1+C13)) - (21000000*(1+H$7)) - (46700000*(1+H$7*0.75))</f>
        <v/>
      </c>
      <c r="I13" s="16">
        <f>(78500000*(1+C13)) - (21000000*(1+I$7)) - (46700000*(1+I$7*0.75))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2026-08-25T09:12:58Z</dcterms:created>
  <dcterms:modified xmlns:dcterms="http://purl.org/dc/terms/" xmlns:xsi="http://www.w3.org/2001/XMLSchema-instance" xsi:type="dcterms:W3CDTF">2026-08-25T09:12:58Z</dcterms:modified>
</cp:coreProperties>
</file>